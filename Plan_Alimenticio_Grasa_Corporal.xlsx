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398B25BF-86A9-418C-98BF-DA6AB94428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 y Metas" sheetId="1" r:id="rId1"/>
    <sheet name="Plan Alimentic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B15" i="1"/>
  <c r="C14" i="1"/>
  <c r="C13" i="1"/>
  <c r="C12" i="1"/>
</calcChain>
</file>

<file path=xl/sharedStrings.xml><?xml version="1.0" encoding="utf-8"?>
<sst xmlns="http://schemas.openxmlformats.org/spreadsheetml/2006/main" count="69" uniqueCount="65">
  <si>
    <t>PLAN NUTRICIONAL - RECOMPOSICIÓN Y PÉRDIDA DE GRASA</t>
  </si>
  <si>
    <t>Perfil del Usuario</t>
  </si>
  <si>
    <t>Estatura</t>
  </si>
  <si>
    <t>m</t>
  </si>
  <si>
    <t>Peso Actual</t>
  </si>
  <si>
    <t>kg</t>
  </si>
  <si>
    <t>Frecuencia Gimnasio</t>
  </si>
  <si>
    <t>5 días / semana</t>
  </si>
  <si>
    <t>Caminatas (Perros)</t>
  </si>
  <si>
    <t>&gt;= 2 veces / semana (&gt;= 3 km)</t>
  </si>
  <si>
    <t>Objetivo Principal</t>
  </si>
  <si>
    <t>Reducción de grasa corporal reteniendo masa muscular</t>
  </si>
  <si>
    <t>Distribución Estimada de Macronutrientes (Meta Diaria)</t>
  </si>
  <si>
    <t>Macronutriente</t>
  </si>
  <si>
    <t>Gramos Diarios</t>
  </si>
  <si>
    <t>Calorías</t>
  </si>
  <si>
    <t>% Total</t>
  </si>
  <si>
    <t>Proteínas</t>
  </si>
  <si>
    <t>29%</t>
  </si>
  <si>
    <t>Carbohidratos Complejos</t>
  </si>
  <si>
    <t>42%</t>
  </si>
  <si>
    <t>Grasas Saludables *</t>
  </si>
  <si>
    <t>23%</t>
  </si>
  <si>
    <t>Total Estimado</t>
  </si>
  <si>
    <t>100%</t>
  </si>
  <si>
    <t>* Nota Educativa: Aunque indicas que evitas las grasas, el consumo de grasas saludables (aguacate, frutos secos, aceite de oliva) en cantidades controladas es fundamental para la regulación hormonal y para permitir que el cuerpo oxide la grasa corporal eficientemente de acuerdo a los fundamentos de nutrición deportiva.</t>
  </si>
  <si>
    <t>PROPUESTA DE PLAN ALIMENTICIO DIARIO</t>
  </si>
  <si>
    <t>Momento</t>
  </si>
  <si>
    <t>Alimentos Sugeridos</t>
  </si>
  <si>
    <t>Porción Estimada</t>
  </si>
  <si>
    <t>Proteína</t>
  </si>
  <si>
    <t>Carbohidratos</t>
  </si>
  <si>
    <t>Grasas</t>
  </si>
  <si>
    <t>Notas Clave</t>
  </si>
  <si>
    <t>Desayuno
(Post-Ayuno / Energía)</t>
  </si>
  <si>
    <t>Huevos enteros + Claras de huevo
Pan integral o Avena en hojuelas
Fruta fresca (Fresas/Piña/Manzana)</t>
  </si>
  <si>
    <t>2 enteros + 3 claras
60g
1 taza</t>
  </si>
  <si>
    <t>Alta</t>
  </si>
  <si>
    <t>Complejos</t>
  </si>
  <si>
    <t>Mínima (Yema)</t>
  </si>
  <si>
    <t>Aporte inicial de aminoácidos para proteger masa muscular.</t>
  </si>
  <si>
    <t>Media Mañana
(Merienda 1)</t>
  </si>
  <si>
    <t>Yogur griego natural (0% azúcar, 0% grasa)
Almendras o Nueces</t>
  </si>
  <si>
    <t>200g
15g (unos 10-12 granos)</t>
  </si>
  <si>
    <t>Bajo</t>
  </si>
  <si>
    <t>Saludable (Esencial)</t>
  </si>
  <si>
    <t>Grasas buenas necesarias para transporte de vitaminas.</t>
  </si>
  <si>
    <t>Almuerzo
(Nutrición Central)</t>
  </si>
  <si>
    <t>Pechuga de pollo o Lomo de cerdo magro
Arroz integral, Camote o Quinoa
Vegetales variados (Brócoli, espinacas, zanahoria)</t>
  </si>
  <si>
    <t>150g (peso cocido)
120g (cocido)
Libre (mínimo 1 taza)</t>
  </si>
  <si>
    <t>Excelente</t>
  </si>
  <si>
    <t>Moderados</t>
  </si>
  <si>
    <t>Muy baja</t>
  </si>
  <si>
    <t>Los vegetales aportan fibra esencial para la saciedad y digestión.</t>
  </si>
  <si>
    <t>Merienda
(Pre/Post Entreno)</t>
  </si>
  <si>
    <t>Batido de proteína en agua (opcional) O Jamón de pavo
Galletas de arroz inflado o Banano mediano</t>
  </si>
  <si>
    <t>1 scoop o 4 lascas
2 und o 1 banano</t>
  </si>
  <si>
    <t>Rápida absorción</t>
  </si>
  <si>
    <t>Cero</t>
  </si>
  <si>
    <t>Ideal antes o inmediatamente después de entrenar en el gimnasio.</t>
  </si>
  <si>
    <t>Cena
(Reparación Nocturna)</t>
  </si>
  <si>
    <t>Filete de pescado (Tilapia, Salmón) o Atún en agua
Aguacate fresco
Ensalada verde grande (Lechuga, pepino, tomate)</t>
  </si>
  <si>
    <t>160g o 1 lata grande
50g (1/4 unidad)
Libre</t>
  </si>
  <si>
    <t>Saludable</t>
  </si>
  <si>
    <t>Cena ligera, baja en carbohidratos para favorecer el descanso y la oxidación lípida.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</si>
</sst>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1C3E2B"/>
      <name val="Segoe UI"/>
    </font>
    <font>
      <b/>
      <sz val="12"/>
      <color rgb="FF2C5E43"/>
      <name val="Segoe UI"/>
    </font>
    <font>
      <b/>
      <sz val="11"/>
      <name val="Segoe UI"/>
    </font>
    <font>
      <sz val="11"/>
      <name val="Segoe UI"/>
    </font>
    <font>
      <i/>
      <sz val="9"/>
      <color rgb="FF555555"/>
      <name val="Segoe UI"/>
    </font>
    <font>
      <b/>
      <sz val="11"/>
      <color rgb="FFFFFFF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C5E43"/>
        <bgColor rgb="FF2C5E43"/>
      </patternFill>
    </fill>
    <fill>
      <patternFill patternType="solid">
        <fgColor rgb="FFE4EFE9"/>
        <bgColor rgb="FFE4EFE9"/>
      </patternFill>
    </fill>
    <fill>
      <patternFill patternType="solid">
        <fgColor rgb="FFF1F7F4"/>
        <bgColor rgb="FFF1F7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double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0" fontId="3" fillId="0" borderId="1" xfId="0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/>
  </sheetViews>
  <sheetFormatPr baseColWidth="10" defaultColWidth="8.88671875" defaultRowHeight="14.4" x14ac:dyDescent="0.3"/>
  <cols>
    <col min="1" max="1" width="32" customWidth="1"/>
    <col min="2" max="3" width="16" customWidth="1"/>
    <col min="4" max="5" width="12" customWidth="1"/>
  </cols>
  <sheetData>
    <row r="1" spans="1:4" ht="30" customHeight="1" x14ac:dyDescent="0.55000000000000004">
      <c r="A1" s="1" t="s">
        <v>0</v>
      </c>
    </row>
    <row r="3" spans="1:4" ht="19.2" x14ac:dyDescent="0.45">
      <c r="A3" s="2" t="s">
        <v>1</v>
      </c>
    </row>
    <row r="4" spans="1:4" ht="16.8" x14ac:dyDescent="0.4">
      <c r="A4" s="3" t="s">
        <v>2</v>
      </c>
      <c r="B4" s="4">
        <v>1.65</v>
      </c>
      <c r="C4" s="5" t="s">
        <v>3</v>
      </c>
    </row>
    <row r="5" spans="1:4" ht="16.8" x14ac:dyDescent="0.4">
      <c r="A5" s="3" t="s">
        <v>4</v>
      </c>
      <c r="B5" s="6">
        <v>72</v>
      </c>
      <c r="C5" s="5" t="s">
        <v>5</v>
      </c>
    </row>
    <row r="6" spans="1:4" ht="16.8" x14ac:dyDescent="0.4">
      <c r="A6" s="3" t="s">
        <v>6</v>
      </c>
      <c r="B6" s="7" t="s">
        <v>7</v>
      </c>
      <c r="C6" s="5"/>
    </row>
    <row r="7" spans="1:4" ht="16.8" x14ac:dyDescent="0.4">
      <c r="A7" s="3" t="s">
        <v>8</v>
      </c>
      <c r="B7" s="7" t="s">
        <v>9</v>
      </c>
      <c r="C7" s="5"/>
    </row>
    <row r="8" spans="1:4" ht="16.8" x14ac:dyDescent="0.4">
      <c r="A8" s="3" t="s">
        <v>10</v>
      </c>
      <c r="B8" s="7" t="s">
        <v>11</v>
      </c>
      <c r="C8" s="5"/>
    </row>
    <row r="10" spans="1:4" ht="19.2" x14ac:dyDescent="0.45">
      <c r="A10" s="2" t="s">
        <v>12</v>
      </c>
    </row>
    <row r="11" spans="1:4" ht="16.8" x14ac:dyDescent="0.3">
      <c r="A11" s="8" t="s">
        <v>13</v>
      </c>
      <c r="B11" s="8" t="s">
        <v>14</v>
      </c>
      <c r="C11" s="8" t="s">
        <v>15</v>
      </c>
      <c r="D11" s="8" t="s">
        <v>16</v>
      </c>
    </row>
    <row r="12" spans="1:4" ht="16.8" x14ac:dyDescent="0.4">
      <c r="A12" s="9" t="s">
        <v>17</v>
      </c>
      <c r="B12" s="10">
        <v>145</v>
      </c>
      <c r="C12" s="10">
        <f>B12*4</f>
        <v>580</v>
      </c>
      <c r="D12" s="11" t="s">
        <v>18</v>
      </c>
    </row>
    <row r="13" spans="1:4" ht="16.8" x14ac:dyDescent="0.4">
      <c r="A13" s="9" t="s">
        <v>19</v>
      </c>
      <c r="B13" s="10">
        <v>210</v>
      </c>
      <c r="C13" s="10">
        <f>B13*4</f>
        <v>840</v>
      </c>
      <c r="D13" s="11" t="s">
        <v>20</v>
      </c>
    </row>
    <row r="14" spans="1:4" ht="16.8" x14ac:dyDescent="0.4">
      <c r="A14" s="9" t="s">
        <v>21</v>
      </c>
      <c r="B14" s="10">
        <v>50</v>
      </c>
      <c r="C14" s="10">
        <f>B14*9</f>
        <v>450</v>
      </c>
      <c r="D14" s="11" t="s">
        <v>22</v>
      </c>
    </row>
    <row r="15" spans="1:4" ht="16.8" x14ac:dyDescent="0.4">
      <c r="A15" s="12" t="s">
        <v>23</v>
      </c>
      <c r="B15" s="12">
        <f>SUM(B12:B14)</f>
        <v>405</v>
      </c>
      <c r="C15" s="12">
        <f>SUM(C12:C14)</f>
        <v>1870</v>
      </c>
      <c r="D15" s="13" t="s">
        <v>24</v>
      </c>
    </row>
    <row r="17" spans="1:5" x14ac:dyDescent="0.3">
      <c r="A17" s="17" t="s">
        <v>25</v>
      </c>
      <c r="B17" s="18"/>
      <c r="C17" s="18"/>
      <c r="D17" s="18"/>
      <c r="E17" s="18"/>
    </row>
    <row r="18" spans="1:5" x14ac:dyDescent="0.3">
      <c r="A18" s="18"/>
      <c r="B18" s="18"/>
      <c r="C18" s="18"/>
      <c r="D18" s="18"/>
      <c r="E18" s="18"/>
    </row>
  </sheetData>
  <mergeCells count="1">
    <mergeCell ref="A17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workbookViewId="0"/>
  </sheetViews>
  <sheetFormatPr baseColWidth="10" defaultColWidth="8.88671875" defaultRowHeight="14.4" x14ac:dyDescent="0.3"/>
  <cols>
    <col min="1" max="1" width="39" customWidth="1"/>
    <col min="2" max="2" width="38" customWidth="1"/>
    <col min="3" max="3" width="25" customWidth="1"/>
    <col min="4" max="4" width="12" customWidth="1"/>
    <col min="5" max="5" width="19" customWidth="1"/>
    <col min="6" max="6" width="23" customWidth="1"/>
    <col min="7" max="7" width="45" customWidth="1"/>
  </cols>
  <sheetData>
    <row r="1" spans="1:7" ht="25.05" customHeight="1" x14ac:dyDescent="0.55000000000000004">
      <c r="A1" s="1" t="s">
        <v>26</v>
      </c>
    </row>
    <row r="3" spans="1:7" ht="16.8" x14ac:dyDescent="0.3">
      <c r="A3" s="8" t="s">
        <v>27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33</v>
      </c>
    </row>
    <row r="4" spans="1:7" ht="45" customHeight="1" x14ac:dyDescent="0.3">
      <c r="A4" s="14" t="s">
        <v>34</v>
      </c>
      <c r="B4" s="15" t="s">
        <v>35</v>
      </c>
      <c r="C4" s="15" t="s">
        <v>36</v>
      </c>
      <c r="D4" s="14" t="s">
        <v>37</v>
      </c>
      <c r="E4" s="14" t="s">
        <v>38</v>
      </c>
      <c r="F4" s="14" t="s">
        <v>39</v>
      </c>
      <c r="G4" s="15" t="s">
        <v>40</v>
      </c>
    </row>
    <row r="5" spans="1:7" ht="45" customHeight="1" x14ac:dyDescent="0.3">
      <c r="A5" s="11" t="s">
        <v>41</v>
      </c>
      <c r="B5" s="16" t="s">
        <v>42</v>
      </c>
      <c r="C5" s="16" t="s">
        <v>43</v>
      </c>
      <c r="D5" s="11" t="s">
        <v>37</v>
      </c>
      <c r="E5" s="11" t="s">
        <v>44</v>
      </c>
      <c r="F5" s="11" t="s">
        <v>45</v>
      </c>
      <c r="G5" s="16" t="s">
        <v>46</v>
      </c>
    </row>
    <row r="6" spans="1:7" ht="45" customHeight="1" x14ac:dyDescent="0.3">
      <c r="A6" s="14" t="s">
        <v>47</v>
      </c>
      <c r="B6" s="15" t="s">
        <v>48</v>
      </c>
      <c r="C6" s="15" t="s">
        <v>49</v>
      </c>
      <c r="D6" s="14" t="s">
        <v>50</v>
      </c>
      <c r="E6" s="14" t="s">
        <v>51</v>
      </c>
      <c r="F6" s="14" t="s">
        <v>52</v>
      </c>
      <c r="G6" s="15" t="s">
        <v>53</v>
      </c>
    </row>
    <row r="7" spans="1:7" ht="45" customHeight="1" x14ac:dyDescent="0.3">
      <c r="A7" s="11" t="s">
        <v>54</v>
      </c>
      <c r="B7" s="16" t="s">
        <v>55</v>
      </c>
      <c r="C7" s="16" t="s">
        <v>56</v>
      </c>
      <c r="D7" s="11" t="s">
        <v>37</v>
      </c>
      <c r="E7" s="11" t="s">
        <v>57</v>
      </c>
      <c r="F7" s="11" t="s">
        <v>58</v>
      </c>
      <c r="G7" s="16" t="s">
        <v>59</v>
      </c>
    </row>
    <row r="8" spans="1:7" ht="45" customHeight="1" x14ac:dyDescent="0.3">
      <c r="A8" s="14" t="s">
        <v>60</v>
      </c>
      <c r="B8" s="15" t="s">
        <v>61</v>
      </c>
      <c r="C8" s="15" t="s">
        <v>62</v>
      </c>
      <c r="D8" s="14" t="s">
        <v>37</v>
      </c>
      <c r="E8" s="14" t="s">
        <v>52</v>
      </c>
      <c r="F8" s="14" t="s">
        <v>63</v>
      </c>
      <c r="G8" s="15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y Metas</vt:lpstr>
      <vt:lpstr>Plan Alimenticio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varela</cp:lastModifiedBy>
  <dcterms:created xsi:type="dcterms:W3CDTF">2026-07-04T01:27:29Z</dcterms:created>
  <dcterms:modified xsi:type="dcterms:W3CDTF">2026-07-04T01:29:10Z</dcterms:modified>
</cp:coreProperties>
</file>